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808080"/>
      <sz val="9"/>
    </font>
    <font>
      <color rgb="00C00000"/>
      <sz val="9"/>
    </font>
    <font>
      <b val="1"/>
      <color rgb="00FFFFFF"/>
    </font>
    <font>
      <b val="1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pivotButton="0" quotePrefix="0" xfId="0"/>
    <xf numFmtId="0" fontId="0" fillId="0" borderId="1" pivotButton="0" quotePrefix="0" xfId="0"/>
    <xf numFmtId="0" fontId="5" fillId="4" borderId="1" pivotButton="0" quotePrefix="0" xfId="0"/>
    <xf numFmtId="3" fontId="5" fillId="4" borderId="1" pivotButton="0" quotePrefix="0" xfId="0"/>
    <xf numFmtId="0" fontId="6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6" customWidth="1" min="3" max="3"/>
    <col width="16" customWidth="1" min="4" max="4"/>
    <col width="12" customWidth="1" min="5" max="5"/>
    <col width="16" customWidth="1" min="6" max="6"/>
    <col width="28" customWidth="1" min="7" max="7"/>
    <col width="20" customWidth="1" min="8" max="8"/>
  </cols>
  <sheetData>
    <row r="1">
      <c r="A1" s="1" t="inlineStr">
        <is>
          <t>ORÇAMENTO — Volante de Simulação · Fase 1 (rev01)</t>
        </is>
      </c>
    </row>
    <row r="2">
      <c r="A2" s="2" t="inlineStr">
        <is>
          <t>Compras de longo prazo. Preencha Gasto / Fornecedor / Link / Status conforme comprar. Valores previstos são estimativas (confirmar preço real).</t>
        </is>
      </c>
    </row>
    <row r="4">
      <c r="A4" s="3" t="inlineStr">
        <is>
          <t>⚠️ Cabo USB tem que ter DADOS (cabo só de carga não funciona).</t>
        </is>
      </c>
    </row>
    <row r="5">
      <c r="A5" s="3" t="inlineStr">
        <is>
          <t>⚠️ Ímã N52, nunca N35 (força bem menor).</t>
        </is>
      </c>
    </row>
    <row r="6">
      <c r="A6" s="3" t="inlineStr">
        <is>
          <t>⚠️ Set screw M8 em AÇO (não inox/latão): o ímã de retorno precisa atrair aço.</t>
        </is>
      </c>
    </row>
    <row r="8">
      <c r="A8" s="4" t="inlineStr">
        <is>
          <t>Item</t>
        </is>
      </c>
      <c r="B8" s="4" t="inlineStr">
        <is>
          <t>Qtd</t>
        </is>
      </c>
      <c r="C8" s="4" t="inlineStr">
        <is>
          <t>Previsto mín (R$)</t>
        </is>
      </c>
      <c r="D8" s="4" t="inlineStr">
        <is>
          <t>Previsto máx (R$)</t>
        </is>
      </c>
      <c r="E8" s="4" t="inlineStr">
        <is>
          <t>Gasto (R$)</t>
        </is>
      </c>
      <c r="F8" s="4" t="inlineStr">
        <is>
          <t>Fornecedor</t>
        </is>
      </c>
      <c r="G8" s="4" t="inlineStr">
        <is>
          <t>Link (colar)</t>
        </is>
      </c>
      <c r="H8" s="4" t="inlineStr">
        <is>
          <t>Status</t>
        </is>
      </c>
    </row>
    <row r="9">
      <c r="A9" s="5" t="inlineStr">
        <is>
          <t>A. ELETRÔNICA (protótipo em protoboard)</t>
        </is>
      </c>
      <c r="B9" s="6" t="n"/>
      <c r="C9" s="6" t="n"/>
      <c r="D9" s="6" t="n"/>
      <c r="E9" s="6" t="n"/>
      <c r="F9" s="6" t="n"/>
      <c r="G9" s="6" t="n"/>
      <c r="H9" s="7" t="n"/>
    </row>
    <row r="10">
      <c r="A10" s="8" t="inlineStr">
        <is>
          <t>Raspberry Pi Pico (RP2040), com pinos soldados</t>
        </is>
      </c>
      <c r="B10" s="9" t="inlineStr">
        <is>
          <t>2 (1 reserva)</t>
        </is>
      </c>
      <c r="C10" s="10" t="n">
        <v>80</v>
      </c>
      <c r="D10" s="10" t="n">
        <v>100</v>
      </c>
      <c r="E10" s="10" t="n"/>
      <c r="F10" s="9" t="inlineStr">
        <is>
          <t>Mercado Livre</t>
        </is>
      </c>
      <c r="G10" s="11" t="n"/>
      <c r="H10" s="9" t="inlineStr">
        <is>
          <t>Pendente</t>
        </is>
      </c>
    </row>
    <row r="11">
      <c r="A11" s="8" t="inlineStr">
        <is>
          <t>Botão tátil 12 × 12 mm</t>
        </is>
      </c>
      <c r="B11" s="9" t="inlineStr">
        <is>
          <t>15</t>
        </is>
      </c>
      <c r="C11" s="10" t="n">
        <v>10</v>
      </c>
      <c r="D11" s="10" t="n">
        <v>20</v>
      </c>
      <c r="E11" s="10" t="n"/>
      <c r="F11" s="9" t="inlineStr">
        <is>
          <t>Shopee</t>
        </is>
      </c>
      <c r="G11" s="11" t="n"/>
      <c r="H11" s="9" t="inlineStr">
        <is>
          <t>Pendente</t>
        </is>
      </c>
    </row>
    <row r="12">
      <c r="A12" s="8" t="inlineStr">
        <is>
          <t>Diodo 1N4148</t>
        </is>
      </c>
      <c r="B12" s="9" t="inlineStr">
        <is>
          <t>15</t>
        </is>
      </c>
      <c r="C12" s="10" t="n">
        <v>5</v>
      </c>
      <c r="D12" s="10" t="n">
        <v>10</v>
      </c>
      <c r="E12" s="10" t="n"/>
      <c r="F12" s="9" t="inlineStr">
        <is>
          <t>Shopee</t>
        </is>
      </c>
      <c r="G12" s="11" t="n"/>
      <c r="H12" s="9" t="inlineStr">
        <is>
          <t>Pendente</t>
        </is>
      </c>
    </row>
    <row r="13">
      <c r="A13" s="8" t="inlineStr">
        <is>
          <t>Encoder rotativo EC11 (20 pulsos, com clique)</t>
        </is>
      </c>
      <c r="B13" s="9" t="inlineStr">
        <is>
          <t>5 (1 reserva)</t>
        </is>
      </c>
      <c r="C13" s="10" t="n">
        <v>40</v>
      </c>
      <c r="D13" s="10" t="n">
        <v>75</v>
      </c>
      <c r="E13" s="10" t="n"/>
      <c r="F13" s="9" t="inlineStr">
        <is>
          <t>Mercado Livre</t>
        </is>
      </c>
      <c r="G13" s="11" t="n"/>
      <c r="H13" s="9" t="inlineStr">
        <is>
          <t>Pendente</t>
        </is>
      </c>
    </row>
    <row r="14">
      <c r="A14" s="8" t="inlineStr">
        <is>
          <t>Sensor Hall linear SS49E</t>
        </is>
      </c>
      <c r="B14" s="9" t="inlineStr">
        <is>
          <t>3 (1 reserva)</t>
        </is>
      </c>
      <c r="C14" s="10" t="n">
        <v>10</v>
      </c>
      <c r="D14" s="10" t="n">
        <v>25</v>
      </c>
      <c r="E14" s="10" t="n"/>
      <c r="F14" s="9" t="inlineStr">
        <is>
          <t>Shopee</t>
        </is>
      </c>
      <c r="G14" s="11" t="n"/>
      <c r="H14" s="9" t="inlineStr">
        <is>
          <t>Pendente</t>
        </is>
      </c>
    </row>
    <row r="15">
      <c r="A15" s="8" t="inlineStr">
        <is>
          <t>Protoboard 830 pontos</t>
        </is>
      </c>
      <c r="B15" s="9" t="inlineStr">
        <is>
          <t>2</t>
        </is>
      </c>
      <c r="C15" s="10" t="n">
        <v>25</v>
      </c>
      <c r="D15" s="10" t="n">
        <v>45</v>
      </c>
      <c r="E15" s="10" t="n"/>
      <c r="F15" s="9" t="inlineStr">
        <is>
          <t>Mercado Livre</t>
        </is>
      </c>
      <c r="G15" s="11" t="n"/>
      <c r="H15" s="9" t="inlineStr">
        <is>
          <t>Pendente</t>
        </is>
      </c>
    </row>
    <row r="16">
      <c r="A16" s="8" t="inlineStr">
        <is>
          <t>Kit de jumpers macho-macho</t>
        </is>
      </c>
      <c r="B16" s="9" t="inlineStr">
        <is>
          <t>1</t>
        </is>
      </c>
      <c r="C16" s="10" t="n">
        <v>15</v>
      </c>
      <c r="D16" s="10" t="n">
        <v>25</v>
      </c>
      <c r="E16" s="10" t="n"/>
      <c r="F16" s="9" t="inlineStr">
        <is>
          <t>Shopee</t>
        </is>
      </c>
      <c r="G16" s="11" t="n"/>
      <c r="H16" s="9" t="inlineStr">
        <is>
          <t>Pendente</t>
        </is>
      </c>
    </row>
    <row r="17">
      <c r="A17" s="8" t="inlineStr">
        <is>
          <t>Cabo USB-A → micro-USB (com dados)</t>
        </is>
      </c>
      <c r="B17" s="9" t="inlineStr">
        <is>
          <t>1</t>
        </is>
      </c>
      <c r="C17" s="10" t="n">
        <v>10</v>
      </c>
      <c r="D17" s="10" t="n">
        <v>20</v>
      </c>
      <c r="E17" s="10" t="n"/>
      <c r="F17" s="9" t="inlineStr">
        <is>
          <t>Amazon</t>
        </is>
      </c>
      <c r="G17" s="11" t="n"/>
      <c r="H17" s="9" t="inlineStr">
        <is>
          <t>Pendente</t>
        </is>
      </c>
    </row>
    <row r="18">
      <c r="A18" s="5" t="inlineStr">
        <is>
          <t>B. ÍMÃS DE NEODÍMIO N52</t>
        </is>
      </c>
      <c r="B18" s="6" t="n"/>
      <c r="C18" s="6" t="n"/>
      <c r="D18" s="6" t="n"/>
      <c r="E18" s="6" t="n"/>
      <c r="F18" s="6" t="n"/>
      <c r="G18" s="6" t="n"/>
      <c r="H18" s="7" t="n"/>
    </row>
    <row r="19">
      <c r="A19" s="8" t="inlineStr">
        <is>
          <t>Ímã N52 Ø10 × 5 mm (retorno da aleta)</t>
        </is>
      </c>
      <c r="B19" s="9" t="inlineStr">
        <is>
          <t>2</t>
        </is>
      </c>
      <c r="C19" s="10" t="n">
        <v>15</v>
      </c>
      <c r="D19" s="10" t="n">
        <v>35</v>
      </c>
      <c r="E19" s="10" t="n"/>
      <c r="F19" s="9" t="inlineStr">
        <is>
          <t>Mercado Livre</t>
        </is>
      </c>
      <c r="G19" s="11" t="n"/>
      <c r="H19" s="9" t="inlineStr">
        <is>
          <t>Pendente</t>
        </is>
      </c>
    </row>
    <row r="20">
      <c r="A20" s="8" t="inlineStr">
        <is>
          <t>Ímã N52 Ø5 × 3 mm (sensor Hall)</t>
        </is>
      </c>
      <c r="B20" s="9" t="inlineStr">
        <is>
          <t>6</t>
        </is>
      </c>
      <c r="C20" s="10" t="n">
        <v>10</v>
      </c>
      <c r="D20" s="10" t="n">
        <v>25</v>
      </c>
      <c r="E20" s="10" t="n"/>
      <c r="F20" s="9" t="inlineStr">
        <is>
          <t>Mercado Livre</t>
        </is>
      </c>
      <c r="G20" s="11" t="n"/>
      <c r="H20" s="9" t="inlineStr">
        <is>
          <t>Pendente</t>
        </is>
      </c>
    </row>
    <row r="21">
      <c r="A21" s="5" t="inlineStr">
        <is>
          <t>C. FERRAGEM / MECÂNICA</t>
        </is>
      </c>
      <c r="B21" s="6" t="n"/>
      <c r="C21" s="6" t="n"/>
      <c r="D21" s="6" t="n"/>
      <c r="E21" s="6" t="n"/>
      <c r="F21" s="6" t="n"/>
      <c r="G21" s="6" t="n"/>
      <c r="H21" s="7" t="n"/>
    </row>
    <row r="22">
      <c r="A22" s="8" t="inlineStr">
        <is>
          <t>Eixo de aço Ø4 × ~44 mm (giro da aleta)</t>
        </is>
      </c>
      <c r="B22" s="9" t="inlineStr">
        <is>
          <t>2</t>
        </is>
      </c>
      <c r="C22" s="10" t="n">
        <v>15</v>
      </c>
      <c r="D22" s="10" t="n">
        <v>40</v>
      </c>
      <c r="E22" s="10" t="n"/>
      <c r="F22" s="9" t="inlineStr">
        <is>
          <t>Mercado Livre</t>
        </is>
      </c>
      <c r="G22" s="11" t="n"/>
      <c r="H22" s="9" t="inlineStr">
        <is>
          <t>Pendente</t>
        </is>
      </c>
    </row>
    <row r="23">
      <c r="A23" s="8" t="inlineStr">
        <is>
          <t>Bucha de bronze Ø4 × Ø6 × 4 mm</t>
        </is>
      </c>
      <c r="B23" s="9" t="inlineStr">
        <is>
          <t>4</t>
        </is>
      </c>
      <c r="C23" s="10" t="n">
        <v>15</v>
      </c>
      <c r="D23" s="10" t="n">
        <v>30</v>
      </c>
      <c r="E23" s="10" t="n"/>
      <c r="F23" s="9" t="inlineStr">
        <is>
          <t>Mercado Livre</t>
        </is>
      </c>
      <c r="G23" s="11" t="n"/>
      <c r="H23" s="9" t="inlineStr">
        <is>
          <t>Pendente</t>
        </is>
      </c>
    </row>
    <row r="24">
      <c r="A24" s="8" t="inlineStr">
        <is>
          <t>Set screw M8 × 10 ponta plana (aço)</t>
        </is>
      </c>
      <c r="B24" s="9" t="inlineStr">
        <is>
          <t>2</t>
        </is>
      </c>
      <c r="C24" s="10" t="n">
        <v>10</v>
      </c>
      <c r="D24" s="10" t="n">
        <v>20</v>
      </c>
      <c r="E24" s="10" t="n"/>
      <c r="F24" s="9" t="inlineStr">
        <is>
          <t>Mercado Livre</t>
        </is>
      </c>
      <c r="G24" s="11" t="n"/>
      <c r="H24" s="9" t="inlineStr">
        <is>
          <t>Pendente</t>
        </is>
      </c>
    </row>
    <row r="25">
      <c r="A25" s="8" t="inlineStr">
        <is>
          <t>Inserto roscado M3 a quente</t>
        </is>
      </c>
      <c r="B25" s="9" t="inlineStr">
        <is>
          <t>~10</t>
        </is>
      </c>
      <c r="C25" s="10" t="n">
        <v>10</v>
      </c>
      <c r="D25" s="10" t="n">
        <v>20</v>
      </c>
      <c r="E25" s="10" t="n"/>
      <c r="F25" s="9" t="inlineStr">
        <is>
          <t>Shopee</t>
        </is>
      </c>
      <c r="G25" s="11" t="n"/>
      <c r="H25" s="9" t="inlineStr">
        <is>
          <t>Pendente</t>
        </is>
      </c>
    </row>
    <row r="26">
      <c r="A26" s="8" t="inlineStr">
        <is>
          <t>Inserto roscado M4 a quente</t>
        </is>
      </c>
      <c r="B26" s="9" t="inlineStr">
        <is>
          <t>~4</t>
        </is>
      </c>
      <c r="C26" s="10" t="n">
        <v>8</v>
      </c>
      <c r="D26" s="10" t="n">
        <v>15</v>
      </c>
      <c r="E26" s="10" t="n"/>
      <c r="F26" s="9" t="inlineStr">
        <is>
          <t>Shopee</t>
        </is>
      </c>
      <c r="G26" s="11" t="n"/>
      <c r="H26" s="9" t="inlineStr">
        <is>
          <t>Pendente</t>
        </is>
      </c>
    </row>
    <row r="27">
      <c r="A27" s="8" t="inlineStr">
        <is>
          <t>Parafuso M3 × 8</t>
        </is>
      </c>
      <c r="B27" s="9" t="inlineStr">
        <is>
          <t>~10</t>
        </is>
      </c>
      <c r="C27" s="10" t="n">
        <v>8</v>
      </c>
      <c r="D27" s="10" t="n">
        <v>15</v>
      </c>
      <c r="E27" s="10" t="n"/>
      <c r="F27" s="9" t="inlineStr">
        <is>
          <t>Shopee</t>
        </is>
      </c>
      <c r="G27" s="11" t="n"/>
      <c r="H27" s="9" t="inlineStr">
        <is>
          <t>Pendente</t>
        </is>
      </c>
    </row>
    <row r="28">
      <c r="A28" s="8" t="inlineStr">
        <is>
          <t>Parafuso M4 × ~10</t>
        </is>
      </c>
      <c r="B28" s="9" t="inlineStr">
        <is>
          <t>~4</t>
        </is>
      </c>
      <c r="C28" s="10" t="n">
        <v>8</v>
      </c>
      <c r="D28" s="10" t="n">
        <v>15</v>
      </c>
      <c r="E28" s="10" t="n"/>
      <c r="F28" s="9" t="inlineStr">
        <is>
          <t>Shopee</t>
        </is>
      </c>
      <c r="G28" s="11" t="n"/>
      <c r="H28" s="9" t="inlineStr">
        <is>
          <t>Pendente</t>
        </is>
      </c>
    </row>
    <row r="29">
      <c r="A29" s="8" t="inlineStr">
        <is>
          <t>Parafuso M5 (interface base 6 furos × 70 mm)</t>
        </is>
      </c>
      <c r="B29" s="9" t="inlineStr">
        <is>
          <t>6</t>
        </is>
      </c>
      <c r="C29" s="10" t="n">
        <v>8</v>
      </c>
      <c r="D29" s="10" t="n">
        <v>15</v>
      </c>
      <c r="E29" s="10" t="n"/>
      <c r="F29" s="9" t="inlineStr">
        <is>
          <t>Mercado Livre</t>
        </is>
      </c>
      <c r="G29" s="11" t="n"/>
      <c r="H29" s="9" t="inlineStr">
        <is>
          <t>Pendente</t>
        </is>
      </c>
    </row>
    <row r="30">
      <c r="A30" s="8" t="inlineStr">
        <is>
          <t>Porcas M3 / M4 / M5 (kit)</t>
        </is>
      </c>
      <c r="B30" s="9" t="inlineStr">
        <is>
          <t>1 kit</t>
        </is>
      </c>
      <c r="C30" s="10" t="n">
        <v>8</v>
      </c>
      <c r="D30" s="10" t="n">
        <v>20</v>
      </c>
      <c r="E30" s="10" t="n"/>
      <c r="F30" s="9" t="inlineStr">
        <is>
          <t>Mercado Livre</t>
        </is>
      </c>
      <c r="G30" s="11" t="n"/>
      <c r="H30" s="9" t="inlineStr">
        <is>
          <t>Pendente</t>
        </is>
      </c>
    </row>
    <row r="31">
      <c r="A31" s="12" t="inlineStr">
        <is>
          <t>TOTAL FASE 1</t>
        </is>
      </c>
      <c r="B31" s="12" t="n"/>
      <c r="C31" s="13">
        <f>SUM(C10:C30)</f>
        <v/>
      </c>
      <c r="D31" s="13">
        <f>SUM(D10:D30)</f>
        <v/>
      </c>
      <c r="E31" s="13">
        <f>SUM(E10:E30)</f>
        <v/>
      </c>
      <c r="F31" s="12" t="n"/>
      <c r="G31" s="12" t="n"/>
      <c r="H31" s="12" t="n"/>
    </row>
    <row r="33">
      <c r="A33" s="14" t="inlineStr">
        <is>
          <t>❌ NÃO COMPRAR AGORA (dependem da maquete / Fase 7)</t>
        </is>
      </c>
    </row>
    <row r="34">
      <c r="A34" s="15" t="inlineStr">
        <is>
          <t>12 botões de painel (10× Ø16 + 2× Ø19) — corpo ≤ 25 mm atrás da placa</t>
        </is>
      </c>
      <c r="B34" s="16" t="n"/>
      <c r="C34" s="16" t="n"/>
      <c r="D34" s="16" t="n"/>
      <c r="E34" s="16" t="n"/>
      <c r="F34" s="16" t="n"/>
      <c r="G34" s="16" t="n"/>
      <c r="H34" s="17" t="inlineStr">
        <is>
          <t>após a maquete (Fase 2)</t>
        </is>
      </c>
    </row>
    <row r="35">
      <c r="A35" s="15" t="inlineStr">
        <is>
          <t>4 knobs Ø26</t>
        </is>
      </c>
      <c r="B35" s="16" t="n"/>
      <c r="C35" s="16" t="n"/>
      <c r="D35" s="16" t="n"/>
      <c r="E35" s="16" t="n"/>
      <c r="F35" s="16" t="n"/>
      <c r="G35" s="16" t="n"/>
      <c r="H35" s="17" t="inlineStr">
        <is>
          <t>após a maquete (Fase 2)</t>
        </is>
      </c>
    </row>
    <row r="36">
      <c r="A36" s="15" t="inlineStr">
        <is>
          <t>Base Moza R3 + adaptador quick release</t>
        </is>
      </c>
      <c r="B36" s="16" t="n"/>
      <c r="C36" s="16" t="n"/>
      <c r="D36" s="16" t="n"/>
      <c r="E36" s="16" t="n"/>
      <c r="F36" s="16" t="n"/>
      <c r="G36" s="16" t="n"/>
      <c r="H36" s="17" t="inlineStr">
        <is>
          <t>Fase 7</t>
        </is>
      </c>
    </row>
  </sheetData>
  <mergeCells count="9">
    <mergeCell ref="A1:H1"/>
    <mergeCell ref="A4:H4"/>
    <mergeCell ref="A9:H9"/>
    <mergeCell ref="A18:H18"/>
    <mergeCell ref="A21:H21"/>
    <mergeCell ref="A2:H2"/>
    <mergeCell ref="A33:H33"/>
    <mergeCell ref="A5:H5"/>
    <mergeCell ref="A6:H6"/>
  </mergeCells>
  <dataValidations count="1">
    <dataValidation sqref="H10 H11 H12 H13 H14 H15 H16 H17 H19 H20 H22 H23 H24 H25 H26 H27 H28 H29 H30" showDropDown="0" showInputMessage="0" showErrorMessage="0" allowBlank="1" type="list">
      <formula1>"Pendente,Comprado,Recebido/Conferido"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2026-10-13T03:13:06Z</dcterms:created>
  <dcterms:modified xmlns:dcterms="http://purl.org/dc/terms/" xmlns:xsi="http://www.w3.org/2001/XMLSchema-instance" xsi:type="dcterms:W3CDTF">2026-10-13T03:13:06Z</dcterms:modified>
</cp:coreProperties>
</file>