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se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808080"/>
      <sz val="9"/>
    </font>
    <font>
      <color rgb="00C00000"/>
      <sz val="9"/>
    </font>
    <font>
      <b val="1"/>
      <color rgb="00FFFFFF"/>
    </font>
    <font>
      <b val="1"/>
    </font>
    <font>
      <color rgb="000563C1"/>
      <sz val="9"/>
      <u val="single"/>
    </font>
    <font>
      <b val="1"/>
      <color rgb="00C00000"/>
    </font>
    <font>
      <sz val="9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E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5" fillId="4" borderId="1" pivotButton="0" quotePrefix="0" xfId="0"/>
    <xf numFmtId="3" fontId="5" fillId="4" borderId="1" pivotButton="0" quotePrefix="0" xfId="0"/>
    <xf numFmtId="0" fontId="7" fillId="0" borderId="0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0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roduto.mercadolivre.com.br/MLB-3181190378-raspberry-pi-pico-h-rp2040-dual-core-arm-cortex-m0-264kb-_JM" TargetMode="External" Id="rId1"/><Relationship Type="http://schemas.openxmlformats.org/officeDocument/2006/relationships/hyperlink" Target="https://produto.mercadolivre.com.br/MLB-1757293010-kit-25-push-button-12x12-chave-tactil-capa-_JM" TargetMode="External" Id="rId2"/><Relationship Type="http://schemas.openxmlformats.org/officeDocument/2006/relationships/hyperlink" Target="https://produto.mercadolivre.com.br/MLB-2030445588-diodo-de-sinal-1n4148-kit-100-pecas-_JM" TargetMode="External" Id="rId3"/><Relationship Type="http://schemas.openxmlformats.org/officeDocument/2006/relationships/hyperlink" Target="https://produto.mercadolivre.com.br/MLB-2936813951-encoder-rotativo-ec11-potenciometro-10-unidades-arduino-_JM" TargetMode="External" Id="rId4"/><Relationship Type="http://schemas.openxmlformats.org/officeDocument/2006/relationships/hyperlink" Target="https://produto.mercadolivre.com.br/MLB-1367538567-sensor-hall-49e-oh49e-ss49e-analogico-kit-5-pecas-_JM" TargetMode="External" Id="rId5"/><Relationship Type="http://schemas.openxmlformats.org/officeDocument/2006/relationships/hyperlink" Target="https://www.mercadolivre.com.br/kit-protoboard-830-pontos-fonte-mb102-kit-jumpers-arduino/p/MLB37389913" TargetMode="External" Id="rId6"/><Relationship Type="http://schemas.openxmlformats.org/officeDocument/2006/relationships/hyperlink" Target="https://lista.mercadolivre.com.br/protoboard-830" TargetMode="External" Id="rId7"/><Relationship Type="http://schemas.openxmlformats.org/officeDocument/2006/relationships/hyperlink" Target="https://www.mercadolivre.com.br/cabo-micro-usb-1m-preto-2a-c3tech-conector-v8-cb-m11-transferencia-de-dados/p/MLB22252705" TargetMode="External" Id="rId8"/><Relationship Type="http://schemas.openxmlformats.org/officeDocument/2006/relationships/hyperlink" Target="https://lista.mercadolivre.com.br/ima-de-neod%C3%ADmio-10x5mm" TargetMode="External" Id="rId9"/><Relationship Type="http://schemas.openxmlformats.org/officeDocument/2006/relationships/hyperlink" Target="https://lista.mercadolivre.com.br/ima-neodimio-5x3" TargetMode="External" Id="rId10"/><Relationship Type="http://schemas.openxmlformats.org/officeDocument/2006/relationships/hyperlink" Target="https://www.mercadolivre.com.br/barra-redonda-de-inox-304--4mm-x-36-cm/up/MLBU1980168840" TargetMode="External" Id="rId11"/><Relationship Type="http://schemas.openxmlformats.org/officeDocument/2006/relationships/hyperlink" Target="https://lista.mercadolivre.com.br/bucha-bronze-sinterizado" TargetMode="External" Id="rId12"/><Relationship Type="http://schemas.openxmlformats.org/officeDocument/2006/relationships/hyperlink" Target="https://produto.mercadolivre.com.br/MLB-3273317985-parafuso-allen-sem-cabeca-com-rebaixo-m8-x-10mm-20-pecas-_JM" TargetMode="External" Id="rId13"/><Relationship Type="http://schemas.openxmlformats.org/officeDocument/2006/relationships/hyperlink" Target="https://www.amazon.com.br/inser%C3%A7%C3%B5es-impress%C3%A3o-serrilhadas-rosqueado-componentes/dp/B0CY2HGFB8" TargetMode="External" Id="rId14"/><Relationship Type="http://schemas.openxmlformats.org/officeDocument/2006/relationships/hyperlink" Target="https://www.amazon.com.br/Parafusos-Allen-Cabe%C3%A7a-Redonda-Porcas/dp/B0FPZ2M1YF" TargetMode="External" Id="rId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2" customWidth="1" min="1" max="1"/>
    <col width="15" customWidth="1" min="2" max="2"/>
    <col width="14" customWidth="1" min="3" max="3"/>
    <col width="14" customWidth="1" min="4" max="4"/>
    <col width="11" customWidth="1" min="5" max="5"/>
    <col width="15" customWidth="1" min="6" max="6"/>
    <col width="40" customWidth="1" min="7" max="7"/>
    <col width="18" customWidth="1" min="8" max="8"/>
  </cols>
  <sheetData>
    <row r="1">
      <c r="A1" s="1" t="inlineStr">
        <is>
          <t>ORÇAMENTO — Volante de Simulação · Fase 1 (rev01)</t>
        </is>
      </c>
    </row>
    <row r="2">
      <c r="A2" s="2" t="inlineStr">
        <is>
          <t>Fornecedores e preços pesquisados em out/2026 (Mercado Livre / Amazon / Shopee) — CONFIRMAR antes de comprar, preço e estoque mudam. Preencha Gasto / Link escolhido / Status.</t>
        </is>
      </c>
    </row>
    <row r="4">
      <c r="A4" s="3" t="inlineStr">
        <is>
          <t>⚠️ Cabo USB tem que ter DADOS (cabo só de carga não funciona).</t>
        </is>
      </c>
    </row>
    <row r="5">
      <c r="A5" s="3" t="inlineStr">
        <is>
          <t>⚠️ Ímã N52 em formato DISCO/CILINDRO (não 'bloco'); nunca N35.</t>
        </is>
      </c>
    </row>
    <row r="6">
      <c r="A6" s="3" t="inlineStr">
        <is>
          <t>⚠️ Set screw M8 em AÇO (não inox A2/A4): o ímã de retorno precisa atrair aço.</t>
        </is>
      </c>
    </row>
    <row r="8">
      <c r="A8" s="4" t="inlineStr">
        <is>
          <t>Item</t>
        </is>
      </c>
      <c r="B8" s="4" t="inlineStr">
        <is>
          <t>Qtd</t>
        </is>
      </c>
      <c r="C8" s="4" t="inlineStr">
        <is>
          <t>Previsto mín (R$)</t>
        </is>
      </c>
      <c r="D8" s="4" t="inlineStr">
        <is>
          <t>Previsto máx (R$)</t>
        </is>
      </c>
      <c r="E8" s="4" t="inlineStr">
        <is>
          <t>Gasto (R$)</t>
        </is>
      </c>
      <c r="F8" s="4" t="inlineStr">
        <is>
          <t>Fornecedor</t>
        </is>
      </c>
      <c r="G8" s="4" t="inlineStr">
        <is>
          <t>Link (ref.)</t>
        </is>
      </c>
      <c r="H8" s="4" t="inlineStr">
        <is>
          <t>Status</t>
        </is>
      </c>
    </row>
    <row r="9">
      <c r="A9" s="5" t="inlineStr">
        <is>
          <t>A. ELETRÔNICA (protótipo em protoboard)</t>
        </is>
      </c>
      <c r="B9" s="6" t="n"/>
      <c r="C9" s="6" t="n"/>
      <c r="D9" s="6" t="n"/>
      <c r="E9" s="6" t="n"/>
      <c r="F9" s="6" t="n"/>
      <c r="G9" s="6" t="n"/>
      <c r="H9" s="7" t="n"/>
    </row>
    <row r="10">
      <c r="A10" s="8" t="inlineStr">
        <is>
          <t>Raspberry Pi Pico H (RP2040) — pinos JÁ soldados (versão 'H')</t>
        </is>
      </c>
      <c r="B10" s="9" t="inlineStr">
        <is>
          <t>2 (1 reserva)</t>
        </is>
      </c>
      <c r="C10" s="10" t="n">
        <v>80</v>
      </c>
      <c r="D10" s="10" t="n">
        <v>110</v>
      </c>
      <c r="E10" s="10" t="n"/>
      <c r="F10" s="9" t="inlineStr">
        <is>
          <t>Mercado Livre</t>
        </is>
      </c>
      <c r="G10" s="11" t="inlineStr">
        <is>
          <t>https://produto.mercadolivre.com.br/MLB-3181190378-raspberry-pi-pico-h-rp2040-dual-core-arm-cortex-m0-264kb-_JM</t>
        </is>
      </c>
      <c r="H10" s="9" t="inlineStr">
        <is>
          <t>Pendente</t>
        </is>
      </c>
    </row>
    <row r="11">
      <c r="A11" s="8" t="inlineStr">
        <is>
          <t>Kit 25 push button 12×12 mm (chave táctil)</t>
        </is>
      </c>
      <c r="B11" s="9" t="inlineStr">
        <is>
          <t>1 kit (usa 15)</t>
        </is>
      </c>
      <c r="C11" s="10" t="n">
        <v>15</v>
      </c>
      <c r="D11" s="10" t="n">
        <v>25</v>
      </c>
      <c r="E11" s="10" t="n"/>
      <c r="F11" s="9" t="inlineStr">
        <is>
          <t>Mercado Livre</t>
        </is>
      </c>
      <c r="G11" s="11" t="inlineStr">
        <is>
          <t>https://produto.mercadolivre.com.br/MLB-1757293010-kit-25-push-button-12x12-chave-tactil-capa-_JM</t>
        </is>
      </c>
      <c r="H11" s="9" t="inlineStr">
        <is>
          <t>Pendente</t>
        </is>
      </c>
    </row>
    <row r="12">
      <c r="A12" s="8" t="inlineStr">
        <is>
          <t>Diodo 1N4148 — kit 100 peças</t>
        </is>
      </c>
      <c r="B12" s="9" t="inlineStr">
        <is>
          <t>1 kit (usa 15)</t>
        </is>
      </c>
      <c r="C12" s="10" t="n">
        <v>8</v>
      </c>
      <c r="D12" s="10" t="n">
        <v>15</v>
      </c>
      <c r="E12" s="10" t="n"/>
      <c r="F12" s="9" t="inlineStr">
        <is>
          <t>Mercado Livre</t>
        </is>
      </c>
      <c r="G12" s="11" t="inlineStr">
        <is>
          <t>https://produto.mercadolivre.com.br/MLB-2030445588-diodo-de-sinal-1n4148-kit-100-pecas-_JM</t>
        </is>
      </c>
      <c r="H12" s="9" t="inlineStr">
        <is>
          <t>Pendente</t>
        </is>
      </c>
    </row>
    <row r="13">
      <c r="A13" s="8" t="inlineStr">
        <is>
          <t>Encoder rotativo EC11 (20 pulsos, c/ clique) — pacote 10</t>
        </is>
      </c>
      <c r="B13" s="9" t="inlineStr">
        <is>
          <t>1 pct (usa 5)</t>
        </is>
      </c>
      <c r="C13" s="10" t="n">
        <v>45</v>
      </c>
      <c r="D13" s="10" t="n">
        <v>90</v>
      </c>
      <c r="E13" s="10" t="n"/>
      <c r="F13" s="9" t="inlineStr">
        <is>
          <t>Mercado Livre</t>
        </is>
      </c>
      <c r="G13" s="11" t="inlineStr">
        <is>
          <t>https://produto.mercadolivre.com.br/MLB-2936813951-encoder-rotativo-ec11-potenciometro-10-unidades-arduino-_JM</t>
        </is>
      </c>
      <c r="H13" s="9" t="inlineStr">
        <is>
          <t>Pendente</t>
        </is>
      </c>
    </row>
    <row r="14">
      <c r="A14" s="8" t="inlineStr">
        <is>
          <t>Sensor Hall linear SS49E — kit 5 peças</t>
        </is>
      </c>
      <c r="B14" s="9" t="inlineStr">
        <is>
          <t>1 kit (usa 3)</t>
        </is>
      </c>
      <c r="C14" s="10" t="n">
        <v>12</v>
      </c>
      <c r="D14" s="10" t="n">
        <v>25</v>
      </c>
      <c r="E14" s="10" t="n"/>
      <c r="F14" s="9" t="inlineStr">
        <is>
          <t>Mercado Livre</t>
        </is>
      </c>
      <c r="G14" s="11" t="inlineStr">
        <is>
          <t>https://produto.mercadolivre.com.br/MLB-1367538567-sensor-hall-49e-oh49e-ss49e-analogico-kit-5-pecas-_JM</t>
        </is>
      </c>
      <c r="H14" s="9" t="inlineStr">
        <is>
          <t>Pendente</t>
        </is>
      </c>
    </row>
    <row r="15">
      <c r="A15" s="8" t="inlineStr">
        <is>
          <t>Kit protoboard 830 pontos + 65 jumpers (MB102)</t>
        </is>
      </c>
      <c r="B15" s="9" t="inlineStr">
        <is>
          <t>1 kit</t>
        </is>
      </c>
      <c r="C15" s="10" t="n">
        <v>34</v>
      </c>
      <c r="D15" s="10" t="n">
        <v>50</v>
      </c>
      <c r="E15" s="10" t="n"/>
      <c r="F15" s="9" t="inlineStr">
        <is>
          <t>Mercado Livre</t>
        </is>
      </c>
      <c r="G15" s="11" t="inlineStr">
        <is>
          <t>https://www.mercadolivre.com.br/kit-protoboard-830-pontos-fonte-mb102-kit-jumpers-arduino/p/MLB37389913</t>
        </is>
      </c>
      <c r="H15" s="9" t="inlineStr">
        <is>
          <t>Pendente</t>
        </is>
      </c>
    </row>
    <row r="16">
      <c r="A16" s="8" t="inlineStr">
        <is>
          <t>Protoboard 830 pontos — 2ª unidade</t>
        </is>
      </c>
      <c r="B16" s="9" t="inlineStr">
        <is>
          <t>1</t>
        </is>
      </c>
      <c r="C16" s="10" t="n">
        <v>15</v>
      </c>
      <c r="D16" s="10" t="n">
        <v>25</v>
      </c>
      <c r="E16" s="10" t="n"/>
      <c r="F16" s="9" t="inlineStr">
        <is>
          <t>Mercado Livre</t>
        </is>
      </c>
      <c r="G16" s="11" t="inlineStr">
        <is>
          <t>https://lista.mercadolivre.com.br/protoboard-830</t>
        </is>
      </c>
      <c r="H16" s="9" t="inlineStr">
        <is>
          <t>Pendente</t>
        </is>
      </c>
    </row>
    <row r="17">
      <c r="A17" s="8" t="inlineStr">
        <is>
          <t>Cabo USB-A → micro-USB com DADOS (ex.: C3Tech CB-M11)</t>
        </is>
      </c>
      <c r="B17" s="9" t="inlineStr">
        <is>
          <t>1</t>
        </is>
      </c>
      <c r="C17" s="10" t="n">
        <v>10</v>
      </c>
      <c r="D17" s="10" t="n">
        <v>20</v>
      </c>
      <c r="E17" s="10" t="n"/>
      <c r="F17" s="9" t="inlineStr">
        <is>
          <t>Mercado Livre</t>
        </is>
      </c>
      <c r="G17" s="11" t="inlineStr">
        <is>
          <t>https://www.mercadolivre.com.br/cabo-micro-usb-1m-preto-2a-c3tech-conector-v8-cb-m11-transferencia-de-dados/p/MLB22252705</t>
        </is>
      </c>
      <c r="H17" s="9" t="inlineStr">
        <is>
          <t>Pendente</t>
        </is>
      </c>
    </row>
    <row r="18">
      <c r="A18" s="5" t="inlineStr">
        <is>
          <t>B. ÍMÃS DE NEODÍMIO N52 (formato DISCO)</t>
        </is>
      </c>
      <c r="B18" s="6" t="n"/>
      <c r="C18" s="6" t="n"/>
      <c r="D18" s="6" t="n"/>
      <c r="E18" s="6" t="n"/>
      <c r="F18" s="6" t="n"/>
      <c r="G18" s="6" t="n"/>
      <c r="H18" s="7" t="n"/>
    </row>
    <row r="19">
      <c r="A19" s="8" t="inlineStr">
        <is>
          <t>Ímã N52 Ø10 × 5 mm DISCO (retorno da aleta) — pacote</t>
        </is>
      </c>
      <c r="B19" s="9" t="inlineStr">
        <is>
          <t>1 pct (usa 2)</t>
        </is>
      </c>
      <c r="C19" s="10" t="n">
        <v>40</v>
      </c>
      <c r="D19" s="10" t="n">
        <v>55</v>
      </c>
      <c r="E19" s="10" t="n"/>
      <c r="F19" s="9" t="inlineStr">
        <is>
          <t>Mercado Livre</t>
        </is>
      </c>
      <c r="G19" s="11" t="inlineStr">
        <is>
          <t>https://lista.mercadolivre.com.br/ima-de-neod%C3%ADmio-10x5mm</t>
        </is>
      </c>
      <c r="H19" s="9" t="inlineStr">
        <is>
          <t>Pendente</t>
        </is>
      </c>
    </row>
    <row r="20">
      <c r="A20" s="8" t="inlineStr">
        <is>
          <t>Ímã N52 Ø5 × 3 mm DISCO (sensor Hall) — pacote</t>
        </is>
      </c>
      <c r="B20" s="9" t="inlineStr">
        <is>
          <t>1 pct (usa 6)</t>
        </is>
      </c>
      <c r="C20" s="10" t="n">
        <v>20</v>
      </c>
      <c r="D20" s="10" t="n">
        <v>40</v>
      </c>
      <c r="E20" s="10" t="n"/>
      <c r="F20" s="9" t="inlineStr">
        <is>
          <t>Mercado Livre</t>
        </is>
      </c>
      <c r="G20" s="11" t="inlineStr">
        <is>
          <t>https://lista.mercadolivre.com.br/ima-neodimio-5x3</t>
        </is>
      </c>
      <c r="H20" s="9" t="inlineStr">
        <is>
          <t>Pendente</t>
        </is>
      </c>
    </row>
    <row r="21">
      <c r="A21" s="5" t="inlineStr">
        <is>
          <t>C. FERRAGEM / MECÂNICA</t>
        </is>
      </c>
      <c r="B21" s="6" t="n"/>
      <c r="C21" s="6" t="n"/>
      <c r="D21" s="6" t="n"/>
      <c r="E21" s="6" t="n"/>
      <c r="F21" s="6" t="n"/>
      <c r="G21" s="6" t="n"/>
      <c r="H21" s="7" t="n"/>
    </row>
    <row r="22">
      <c r="A22" s="8" t="inlineStr">
        <is>
          <t>Eixo: barra redonda inox 304 Ø4 mm (cortar 2× ~44 mm)</t>
        </is>
      </c>
      <c r="B22" s="9" t="inlineStr">
        <is>
          <t>1 barra</t>
        </is>
      </c>
      <c r="C22" s="10" t="n">
        <v>19</v>
      </c>
      <c r="D22" s="10" t="n">
        <v>31</v>
      </c>
      <c r="E22" s="10" t="n"/>
      <c r="F22" s="9" t="inlineStr">
        <is>
          <t>Mercado Livre</t>
        </is>
      </c>
      <c r="G22" s="11" t="inlineStr">
        <is>
          <t>https://www.mercadolivre.com.br/barra-redonda-de-inox-304--4mm-x-36-cm/up/MLBU1980168840</t>
        </is>
      </c>
      <c r="H22" s="9" t="inlineStr">
        <is>
          <t>Pendente</t>
        </is>
      </c>
    </row>
    <row r="23">
      <c r="A23" s="8" t="inlineStr">
        <is>
          <t>Bucha de bronze Ø4 × Ø6 × 4 mm ⚠️ ver obs. (OD6 raro)</t>
        </is>
      </c>
      <c r="B23" s="9" t="inlineStr">
        <is>
          <t>4</t>
        </is>
      </c>
      <c r="C23" s="10" t="n">
        <v>30</v>
      </c>
      <c r="D23" s="10" t="n">
        <v>50</v>
      </c>
      <c r="E23" s="10" t="n"/>
      <c r="F23" s="9" t="inlineStr">
        <is>
          <t>A confirmar</t>
        </is>
      </c>
      <c r="G23" s="11" t="inlineStr">
        <is>
          <t>https://lista.mercadolivre.com.br/bucha-bronze-sinterizado</t>
        </is>
      </c>
      <c r="H23" s="9" t="inlineStr">
        <is>
          <t>Pendente</t>
        </is>
      </c>
    </row>
    <row r="24">
      <c r="A24" s="8" t="inlineStr">
        <is>
          <t>Set screw M8 × 10 ponta plana — AÇO (não inox!) DIN 913</t>
        </is>
      </c>
      <c r="B24" s="9" t="inlineStr">
        <is>
          <t>2 (pct)</t>
        </is>
      </c>
      <c r="C24" s="10" t="n">
        <v>15</v>
      </c>
      <c r="D24" s="10" t="n">
        <v>30</v>
      </c>
      <c r="E24" s="10" t="n"/>
      <c r="F24" s="9" t="inlineStr">
        <is>
          <t>Mercado Livre</t>
        </is>
      </c>
      <c r="G24" s="11" t="inlineStr">
        <is>
          <t>https://produto.mercadolivre.com.br/MLB-3273317985-parafuso-allen-sem-cabeca-com-rebaixo-m8-x-10mm-20-pecas-_JM</t>
        </is>
      </c>
      <c r="H24" s="9" t="inlineStr">
        <is>
          <t>Pendente</t>
        </is>
      </c>
    </row>
    <row r="25">
      <c r="A25" s="8" t="inlineStr">
        <is>
          <t>Kit insertos latão a quente M2–M5 (cobre M3 e M4)</t>
        </is>
      </c>
      <c r="B25" s="9" t="inlineStr">
        <is>
          <t>1 kit</t>
        </is>
      </c>
      <c r="C25" s="10" t="n">
        <v>30</v>
      </c>
      <c r="D25" s="10" t="n">
        <v>60</v>
      </c>
      <c r="E25" s="10" t="n"/>
      <c r="F25" s="9" t="inlineStr">
        <is>
          <t>Amazon</t>
        </is>
      </c>
      <c r="G25" s="11" t="inlineStr">
        <is>
          <t>https://www.amazon.com.br/inser%C3%A7%C3%B5es-impress%C3%A3o-serrilhadas-rosqueado-componentes/dp/B0CY2HGFB8</t>
        </is>
      </c>
      <c r="H25" s="9" t="inlineStr">
        <is>
          <t>Pendente</t>
        </is>
      </c>
    </row>
    <row r="26">
      <c r="A26" s="8" t="inlineStr">
        <is>
          <t>Kit parafusos allen M3/M4/M5 + porcas (cobre M3×8, M4, M5)</t>
        </is>
      </c>
      <c r="B26" s="9" t="inlineStr">
        <is>
          <t>1 kit</t>
        </is>
      </c>
      <c r="C26" s="10" t="n">
        <v>50</v>
      </c>
      <c r="D26" s="10" t="n">
        <v>75</v>
      </c>
      <c r="E26" s="10" t="n"/>
      <c r="F26" s="9" t="inlineStr">
        <is>
          <t>Amazon</t>
        </is>
      </c>
      <c r="G26" s="11" t="inlineStr">
        <is>
          <t>https://www.amazon.com.br/Parafusos-Allen-Cabe%C3%A7a-Redonda-Porcas/dp/B0FPZ2M1YF</t>
        </is>
      </c>
      <c r="H26" s="9" t="inlineStr">
        <is>
          <t>Pendente</t>
        </is>
      </c>
    </row>
    <row r="27">
      <c r="A27" s="12" t="inlineStr">
        <is>
          <t>TOTAL FASE 1</t>
        </is>
      </c>
      <c r="B27" s="12" t="n"/>
      <c r="C27" s="13">
        <f>SUM(C10:C26)</f>
        <v/>
      </c>
      <c r="D27" s="13">
        <f>SUM(D10:D26)</f>
        <v/>
      </c>
      <c r="E27" s="13">
        <f>SUM(E10:E26)</f>
        <v/>
      </c>
      <c r="F27" s="12" t="n"/>
      <c r="G27" s="12" t="n"/>
      <c r="H27" s="12" t="n"/>
    </row>
    <row r="29">
      <c r="A29" s="14" t="inlineStr">
        <is>
          <t>❌ NÃO COMPRAR AGORA (dependem da maquete / Fase 7)</t>
        </is>
      </c>
    </row>
    <row r="30">
      <c r="A30" s="15" t="inlineStr">
        <is>
          <t>12 botões de painel (10× Ø16 + 2× Ø19) — corpo ≤ 25 mm atrás da placa</t>
        </is>
      </c>
      <c r="B30" s="16" t="n"/>
      <c r="C30" s="16" t="n"/>
      <c r="D30" s="16" t="n"/>
      <c r="E30" s="16" t="n"/>
      <c r="F30" s="16" t="n"/>
      <c r="G30" s="16" t="n"/>
      <c r="H30" s="17" t="inlineStr">
        <is>
          <t>após a maquete (Fase 2)</t>
        </is>
      </c>
    </row>
    <row r="31">
      <c r="A31" s="15" t="inlineStr">
        <is>
          <t>4 knobs Ø26</t>
        </is>
      </c>
      <c r="B31" s="16" t="n"/>
      <c r="C31" s="16" t="n"/>
      <c r="D31" s="16" t="n"/>
      <c r="E31" s="16" t="n"/>
      <c r="F31" s="16" t="n"/>
      <c r="G31" s="16" t="n"/>
      <c r="H31" s="17" t="inlineStr">
        <is>
          <t>após a maquete (Fase 2)</t>
        </is>
      </c>
    </row>
    <row r="32">
      <c r="A32" s="15" t="inlineStr">
        <is>
          <t>Base Moza R3 + adaptador quick release</t>
        </is>
      </c>
      <c r="B32" s="16" t="n"/>
      <c r="C32" s="16" t="n"/>
      <c r="D32" s="16" t="n"/>
      <c r="E32" s="16" t="n"/>
      <c r="F32" s="16" t="n"/>
      <c r="G32" s="16" t="n"/>
      <c r="H32" s="17" t="inlineStr">
        <is>
          <t>Fase 7</t>
        </is>
      </c>
    </row>
    <row r="34">
      <c r="A34" s="18" t="inlineStr">
        <is>
          <t>OBSERVAÇÕES</t>
        </is>
      </c>
    </row>
    <row r="35" ht="28" customHeight="1">
      <c r="A35" s="19" t="inlineStr">
        <is>
          <t>• Bucha de bronze: a medida Ø4×Ø6×4 (OD 6 mm) quase não existe no varejo; o comum é Ø4×Ø8×8 (OD 8 mm). Como o CAD é paramétrico, o ideal é ajustar o furo do carregador/suporte para a bucha Ø8 disponível — decidir com quem mantém o CAD.</t>
        </is>
      </c>
    </row>
    <row r="36" ht="28" customHeight="1">
      <c r="A36" s="19" t="inlineStr">
        <is>
          <t>• Eixo Ø4: a barra de inox serve (o eixo NÃO precisa ser magnético, só o set screw M8). Cortar 2 pedaços de ~44 mm.</t>
        </is>
      </c>
    </row>
    <row r="37" ht="28" customHeight="1">
      <c r="A37" s="19" t="inlineStr">
        <is>
          <t>• Total subiu vs. estimativa inicial porque ímãs/parafusos/insertos são vendidos em PACOTES/KITS (sobra reserva).</t>
        </is>
      </c>
    </row>
    <row r="38" ht="28" customHeight="1">
      <c r="A38" s="19" t="inlineStr">
        <is>
          <t>• Shopee costuma ter os itens de eletrônica mais baratos — vale comparar antes de fechar.</t>
        </is>
      </c>
    </row>
    <row r="39" ht="28" customHeight="1">
      <c r="A39" s="19" t="inlineStr">
        <is>
          <t>• Portão da Fase 1: receber e conferir item por item; medir ímãs e eixo com paquímetro.</t>
        </is>
      </c>
    </row>
  </sheetData>
  <mergeCells count="15">
    <mergeCell ref="A1:H1"/>
    <mergeCell ref="A4:H4"/>
    <mergeCell ref="A9:H9"/>
    <mergeCell ref="A18:H18"/>
    <mergeCell ref="A21:H21"/>
    <mergeCell ref="A39:H39"/>
    <mergeCell ref="A29:H29"/>
    <mergeCell ref="A35:H35"/>
    <mergeCell ref="A38:H38"/>
    <mergeCell ref="A2:H2"/>
    <mergeCell ref="A36:H36"/>
    <mergeCell ref="A5:H5"/>
    <mergeCell ref="A37:H37"/>
    <mergeCell ref="A6:H6"/>
    <mergeCell ref="A34:H34"/>
  </mergeCells>
  <dataValidations count="1">
    <dataValidation sqref="H10 H11 H12 H13 H14 H15 H16 H17 H19 H20 H22 H23 H24 H25 H26" showDropDown="0" showInputMessage="0" showErrorMessage="0" allowBlank="1" type="list">
      <formula1>"Pendente,Comprado,Recebido/Conferido"</formula1>
    </dataValidation>
  </dataValidations>
  <hyperlinks>
    <hyperlink xmlns:r="http://schemas.openxmlformats.org/officeDocument/2006/relationships" ref="G10" r:id="rId1"/>
    <hyperlink xmlns:r="http://schemas.openxmlformats.org/officeDocument/2006/relationships" ref="G11" r:id="rId2"/>
    <hyperlink xmlns:r="http://schemas.openxmlformats.org/officeDocument/2006/relationships" ref="G12" r:id="rId3"/>
    <hyperlink xmlns:r="http://schemas.openxmlformats.org/officeDocument/2006/relationships" ref="G13" r:id="rId4"/>
    <hyperlink xmlns:r="http://schemas.openxmlformats.org/officeDocument/2006/relationships" ref="G14" r:id="rId5"/>
    <hyperlink xmlns:r="http://schemas.openxmlformats.org/officeDocument/2006/relationships" ref="G15" r:id="rId6"/>
    <hyperlink xmlns:r="http://schemas.openxmlformats.org/officeDocument/2006/relationships" ref="G16" r:id="rId7"/>
    <hyperlink xmlns:r="http://schemas.openxmlformats.org/officeDocument/2006/relationships" ref="G17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2" r:id="rId11"/>
    <hyperlink xmlns:r="http://schemas.openxmlformats.org/officeDocument/2006/relationships" ref="G23" r:id="rId12"/>
    <hyperlink xmlns:r="http://schemas.openxmlformats.org/officeDocument/2006/relationships" ref="G24" r:id="rId13"/>
    <hyperlink xmlns:r="http://schemas.openxmlformats.org/officeDocument/2006/relationships" ref="G25" r:id="rId14"/>
    <hyperlink xmlns:r="http://schemas.openxmlformats.org/officeDocument/2006/relationships" ref="G26" r:id="rId1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2026-10-13T03:23:07Z</dcterms:created>
  <dcterms:modified xmlns:dcterms="http://purl.org/dc/terms/" xmlns:xsi="http://www.w3.org/2001/XMLSchema-instance" xsi:type="dcterms:W3CDTF">2026-10-13T03:23:07Z</dcterms:modified>
</cp:coreProperties>
</file>